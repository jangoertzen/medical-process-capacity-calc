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s\process-calc\"/>
    </mc:Choice>
  </mc:AlternateContent>
  <xr:revisionPtr revIDLastSave="0" documentId="8_{591E30D8-8DA0-4310-9A1B-E3C074AF925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ntersuchungen" sheetId="1" r:id="rId1"/>
    <sheet name="Ressourcen" sheetId="2" r:id="rId2"/>
    <sheet name="Anleitu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K7" i="1" s="1"/>
  <c r="L7" i="1" s="1"/>
  <c r="I8" i="1"/>
  <c r="I9" i="1"/>
  <c r="I10" i="1"/>
  <c r="I11" i="1"/>
  <c r="K11" i="1" s="1"/>
  <c r="L11" i="1" s="1"/>
  <c r="I12" i="1"/>
  <c r="I13" i="1"/>
  <c r="I14" i="1"/>
  <c r="K14" i="1" s="1"/>
  <c r="L14" i="1" s="1"/>
  <c r="I15" i="1"/>
  <c r="K15" i="1" s="1"/>
  <c r="L15" i="1" s="1"/>
  <c r="I16" i="1"/>
  <c r="K16" i="1" s="1"/>
  <c r="L16" i="1" s="1"/>
  <c r="I17" i="1"/>
  <c r="K17" i="1" s="1"/>
  <c r="L17" i="1" s="1"/>
  <c r="I18" i="1"/>
  <c r="K18" i="1" s="1"/>
  <c r="L18" i="1" s="1"/>
  <c r="I4" i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K13" i="1"/>
  <c r="L13" i="1" s="1"/>
  <c r="K12" i="1"/>
  <c r="L12" i="1" s="1"/>
  <c r="K10" i="1"/>
  <c r="L10" i="1" s="1"/>
  <c r="K9" i="1"/>
  <c r="L9" i="1" s="1"/>
  <c r="K8" i="1"/>
  <c r="L8" i="1" s="1"/>
  <c r="K6" i="1"/>
  <c r="L6" i="1" s="1"/>
  <c r="K5" i="1"/>
  <c r="L5" i="1" s="1"/>
  <c r="K4" i="1"/>
  <c r="L4" i="1" s="1"/>
</calcChain>
</file>

<file path=xl/sharedStrings.xml><?xml version="1.0" encoding="utf-8"?>
<sst xmlns="http://schemas.openxmlformats.org/spreadsheetml/2006/main" count="117" uniqueCount="70">
  <si>
    <t>Check-up Untersuchungen und Ressourcen</t>
  </si>
  <si>
    <t>Tag</t>
  </si>
  <si>
    <t>Untersuchung</t>
  </si>
  <si>
    <t>Raum</t>
  </si>
  <si>
    <t>Benötigtes Personal</t>
  </si>
  <si>
    <t>Dauer (Min.)</t>
  </si>
  <si>
    <t>Kann parallel laufen mit</t>
  </si>
  <si>
    <t>Gemeinsame Ressource / Engpassgruppe</t>
  </si>
  <si>
    <t>Slots pro Tag</t>
  </si>
  <si>
    <t>Geplante Pat./Tag</t>
  </si>
  <si>
    <t>Auslastung</t>
  </si>
  <si>
    <t>Möglicher Engpass?</t>
  </si>
  <si>
    <t>Bemerkung</t>
  </si>
  <si>
    <t>Blutabnahme</t>
  </si>
  <si>
    <t>Blutabnahmeplatz / Labor</t>
  </si>
  <si>
    <t>MFA</t>
  </si>
  <si>
    <t>MFA-Kapazität</t>
  </si>
  <si>
    <t>EKG</t>
  </si>
  <si>
    <t>Funktionsraum</t>
  </si>
  <si>
    <t>ABI</t>
  </si>
  <si>
    <t>Funktionsraum Tag 1</t>
  </si>
  <si>
    <t>gleicher Raum wie ABI und Lungenfunktion</t>
  </si>
  <si>
    <t>ABI-Messung</t>
  </si>
  <si>
    <t>gleicher Raum wie EKG und Lungenfunktion</t>
  </si>
  <si>
    <t>Lungenfunktion</t>
  </si>
  <si>
    <t>gleicher Raum wie EKG und ABI</t>
  </si>
  <si>
    <t>Abdomen-Sonographie</t>
  </si>
  <si>
    <t>Sono-Raum</t>
  </si>
  <si>
    <t>Arzt</t>
  </si>
  <si>
    <t>Arzt + Sono</t>
  </si>
  <si>
    <t>Körperliche Untersuchung</t>
  </si>
  <si>
    <t>Untersuchungszimmer</t>
  </si>
  <si>
    <t>Arzt-Sprechzeit</t>
  </si>
  <si>
    <t>Langzeit-EKG anlegen</t>
  </si>
  <si>
    <t>Funktionsraum / MFA-Platz</t>
  </si>
  <si>
    <t>Langzeitgeräte</t>
  </si>
  <si>
    <t>Langzeit-Blutdruck anlegen</t>
  </si>
  <si>
    <t>Langzeit-EKG abnehmen</t>
  </si>
  <si>
    <t>Langzeit-Blutdruck abnehmen</t>
  </si>
  <si>
    <t>Fahrradergometrie</t>
  </si>
  <si>
    <t>Ergometrie-/Funktionsraum</t>
  </si>
  <si>
    <t>Ergometrie</t>
  </si>
  <si>
    <t>Echokardiographie</t>
  </si>
  <si>
    <t>Duplex hirnversorgende Gefäße</t>
  </si>
  <si>
    <t>Schilddrüsen-Sonographie</t>
  </si>
  <si>
    <t>Abschlussgespräch</t>
  </si>
  <si>
    <t>Sprechzimmer</t>
  </si>
  <si>
    <t>Einfache Engpassübersicht</t>
  </si>
  <si>
    <t>Ressource / Gruppe</t>
  </si>
  <si>
    <t>Was läuft darüber?</t>
  </si>
  <si>
    <t>Verfügbare Slots/Tag</t>
  </si>
  <si>
    <t>Geplante Nutzung/Tag</t>
  </si>
  <si>
    <t>Engpass?</t>
  </si>
  <si>
    <t>Wartezeit-Risiko</t>
  </si>
  <si>
    <t>Notiz</t>
  </si>
  <si>
    <t>EKG, ABI, Lungenfunktion</t>
  </si>
  <si>
    <t>ein Raum für drei Untersuchungen</t>
  </si>
  <si>
    <t>Abdomen-Sono, Echo, Duplex, Schilddrüse</t>
  </si>
  <si>
    <t>Körperliche Untersuchung, Abschlussgespräch</t>
  </si>
  <si>
    <t>Blutabnahme, An-/Ablegen Geräte, Teil Funktionsdiagnostik</t>
  </si>
  <si>
    <t>Langzeit-EKG und Langzeit-RR</t>
  </si>
  <si>
    <t>relevant, wenn Geräte über Nacht gebunden sind</t>
  </si>
  <si>
    <t>So nutzen Sie die Datei</t>
  </si>
  <si>
    <t>1. Tragen Sie im Blatt 'Untersuchungen' pro Untersuchung die Dauer und die real möglichen Slots pro Tag ein.</t>
  </si>
  <si>
    <t>2. Tragen Sie daneben ein, wie viele Patienten/Untersuchungen Sie pro Tag dafür planen.</t>
  </si>
  <si>
    <t>3. Die Spalten 'Auslastung' und 'Möglicher Engpass?' zeigen Ihnen sofort kritische Stellen.</t>
  </si>
  <si>
    <t>4. Im Blatt 'Ressourcen' fassen Sie die gemeinsamen Engpässe zusammen, z. B. den gemeinsamen Funktionsraum für EKG, ABI und Lungenfunktion.</t>
  </si>
  <si>
    <t>5. Alles ab ca. 75 % Auslastung sollte geprüft werden; ab ca. 90 % ist die Ressource meist ein echter Engpass mit erhöhter Wartezeit.</t>
  </si>
  <si>
    <t>wieviele Geräte</t>
  </si>
  <si>
    <t>unendlich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</si>
</sst>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65" fontId="3" fillId="0" borderId="0" xfId="0" applyNumberFormat="1" applyFont="1"/>
    <xf numFmtId="164" fontId="0" fillId="0" borderId="0" xfId="0" applyNumberFormat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opLeftCell="C1" workbookViewId="0">
      <pane ySplit="3" topLeftCell="A4" activePane="bottomLeft" state="frozen"/>
      <selection pane="bottomLeft" activeCell="J19" sqref="J19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24" customWidth="1"/>
    <col min="4" max="4" width="20" customWidth="1"/>
    <col min="5" max="5" width="22" customWidth="1"/>
    <col min="6" max="6" width="12" customWidth="1"/>
    <col min="7" max="7" width="20" customWidth="1"/>
    <col min="8" max="8" width="24" customWidth="1"/>
    <col min="9" max="9" width="12" customWidth="1"/>
    <col min="10" max="10" width="14" customWidth="1"/>
    <col min="11" max="11" width="12" customWidth="1"/>
    <col min="12" max="12" width="16" customWidth="1"/>
    <col min="13" max="13" width="28" customWidth="1"/>
  </cols>
  <sheetData>
    <row r="1" spans="1:13" ht="18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ht="28.8" x14ac:dyDescent="0.3">
      <c r="A3" s="2" t="s">
        <v>1</v>
      </c>
      <c r="B3" s="2" t="s">
        <v>2</v>
      </c>
      <c r="C3" s="2" t="s">
        <v>3</v>
      </c>
      <c r="D3" s="2" t="s">
        <v>68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 x14ac:dyDescent="0.3">
      <c r="A4">
        <v>1</v>
      </c>
      <c r="B4" t="s">
        <v>13</v>
      </c>
      <c r="C4" t="s">
        <v>14</v>
      </c>
      <c r="D4" t="s">
        <v>69</v>
      </c>
      <c r="E4" t="s">
        <v>15</v>
      </c>
      <c r="F4" s="3">
        <v>5</v>
      </c>
      <c r="H4" t="s">
        <v>16</v>
      </c>
      <c r="I4" s="4">
        <f>288/F4</f>
        <v>57.6</v>
      </c>
      <c r="J4" s="4">
        <v>10</v>
      </c>
      <c r="K4" s="5">
        <f t="shared" ref="K4:K18" si="0">IFERROR(J4/I4,"")</f>
        <v>0.1736111111111111</v>
      </c>
      <c r="L4" t="str">
        <f t="shared" ref="L4:L18" si="1">IF(K4="","",IF(K4&gt;=0.9,"JA",IF(K4&gt;=0.75,"prüfen","nein")))</f>
        <v>nein</v>
      </c>
    </row>
    <row r="5" spans="1:13" x14ac:dyDescent="0.3">
      <c r="A5">
        <v>1</v>
      </c>
      <c r="B5" t="s">
        <v>17</v>
      </c>
      <c r="C5" t="s">
        <v>18</v>
      </c>
      <c r="D5">
        <v>1</v>
      </c>
      <c r="E5" t="s">
        <v>15</v>
      </c>
      <c r="F5" s="3">
        <v>10</v>
      </c>
      <c r="G5" t="s">
        <v>19</v>
      </c>
      <c r="H5" t="s">
        <v>20</v>
      </c>
      <c r="I5" s="4">
        <f t="shared" ref="I5:I18" si="2">288/F5</f>
        <v>28.8</v>
      </c>
      <c r="J5" s="4">
        <v>10</v>
      </c>
      <c r="K5" s="5">
        <f t="shared" si="0"/>
        <v>0.34722222222222221</v>
      </c>
      <c r="L5" t="str">
        <f t="shared" si="1"/>
        <v>nein</v>
      </c>
      <c r="M5" t="s">
        <v>21</v>
      </c>
    </row>
    <row r="6" spans="1:13" x14ac:dyDescent="0.3">
      <c r="A6">
        <v>1</v>
      </c>
      <c r="B6" t="s">
        <v>22</v>
      </c>
      <c r="C6" t="s">
        <v>18</v>
      </c>
      <c r="D6">
        <v>1</v>
      </c>
      <c r="E6" t="s">
        <v>15</v>
      </c>
      <c r="F6" s="3">
        <v>10</v>
      </c>
      <c r="G6" t="s">
        <v>17</v>
      </c>
      <c r="H6" t="s">
        <v>20</v>
      </c>
      <c r="I6" s="4">
        <f t="shared" si="2"/>
        <v>28.8</v>
      </c>
      <c r="J6" s="4">
        <v>10</v>
      </c>
      <c r="K6" s="5">
        <f t="shared" si="0"/>
        <v>0.34722222222222221</v>
      </c>
      <c r="L6" t="str">
        <f t="shared" si="1"/>
        <v>nein</v>
      </c>
      <c r="M6" t="s">
        <v>23</v>
      </c>
    </row>
    <row r="7" spans="1:13" x14ac:dyDescent="0.3">
      <c r="A7">
        <v>1</v>
      </c>
      <c r="B7" t="s">
        <v>24</v>
      </c>
      <c r="C7" t="s">
        <v>18</v>
      </c>
      <c r="D7">
        <v>1</v>
      </c>
      <c r="E7" t="s">
        <v>15</v>
      </c>
      <c r="F7" s="3">
        <v>5</v>
      </c>
      <c r="H7" t="s">
        <v>20</v>
      </c>
      <c r="I7" s="4">
        <f t="shared" si="2"/>
        <v>57.6</v>
      </c>
      <c r="J7" s="4">
        <v>10</v>
      </c>
      <c r="K7" s="5">
        <f t="shared" si="0"/>
        <v>0.1736111111111111</v>
      </c>
      <c r="L7" t="str">
        <f t="shared" si="1"/>
        <v>nein</v>
      </c>
      <c r="M7" t="s">
        <v>25</v>
      </c>
    </row>
    <row r="8" spans="1:13" x14ac:dyDescent="0.3">
      <c r="A8">
        <v>1</v>
      </c>
      <c r="B8" t="s">
        <v>26</v>
      </c>
      <c r="C8" t="s">
        <v>27</v>
      </c>
      <c r="D8">
        <v>1</v>
      </c>
      <c r="E8" t="s">
        <v>28</v>
      </c>
      <c r="F8" s="3">
        <v>15</v>
      </c>
      <c r="G8" t="s">
        <v>30</v>
      </c>
      <c r="H8" t="s">
        <v>29</v>
      </c>
      <c r="I8" s="4">
        <f t="shared" si="2"/>
        <v>19.2</v>
      </c>
      <c r="J8" s="4">
        <v>10</v>
      </c>
      <c r="K8" s="5">
        <f t="shared" si="0"/>
        <v>0.52083333333333337</v>
      </c>
      <c r="L8" t="str">
        <f t="shared" si="1"/>
        <v>nein</v>
      </c>
    </row>
    <row r="9" spans="1:13" x14ac:dyDescent="0.3">
      <c r="A9">
        <v>1</v>
      </c>
      <c r="B9" t="s">
        <v>30</v>
      </c>
      <c r="C9" t="s">
        <v>31</v>
      </c>
      <c r="D9">
        <v>6</v>
      </c>
      <c r="E9" t="s">
        <v>28</v>
      </c>
      <c r="F9" s="3">
        <v>5</v>
      </c>
      <c r="G9" t="s">
        <v>26</v>
      </c>
      <c r="H9" t="s">
        <v>32</v>
      </c>
      <c r="I9" s="4">
        <f t="shared" si="2"/>
        <v>57.6</v>
      </c>
      <c r="J9" s="4">
        <v>10</v>
      </c>
      <c r="K9" s="5">
        <f t="shared" si="0"/>
        <v>0.1736111111111111</v>
      </c>
      <c r="L9" t="str">
        <f t="shared" si="1"/>
        <v>nein</v>
      </c>
    </row>
    <row r="10" spans="1:13" x14ac:dyDescent="0.3">
      <c r="A10">
        <v>1</v>
      </c>
      <c r="B10" t="s">
        <v>33</v>
      </c>
      <c r="C10" t="s">
        <v>34</v>
      </c>
      <c r="D10">
        <v>4</v>
      </c>
      <c r="E10" t="s">
        <v>15</v>
      </c>
      <c r="F10" s="3">
        <v>5</v>
      </c>
      <c r="G10" t="s">
        <v>36</v>
      </c>
      <c r="H10" t="s">
        <v>35</v>
      </c>
      <c r="I10" s="4">
        <f t="shared" si="2"/>
        <v>57.6</v>
      </c>
      <c r="J10" s="4">
        <v>10</v>
      </c>
      <c r="K10" s="5">
        <f t="shared" si="0"/>
        <v>0.1736111111111111</v>
      </c>
      <c r="L10" t="str">
        <f t="shared" si="1"/>
        <v>nein</v>
      </c>
    </row>
    <row r="11" spans="1:13" x14ac:dyDescent="0.3">
      <c r="A11">
        <v>1</v>
      </c>
      <c r="B11" t="s">
        <v>36</v>
      </c>
      <c r="C11" t="s">
        <v>34</v>
      </c>
      <c r="D11">
        <v>4</v>
      </c>
      <c r="E11" t="s">
        <v>15</v>
      </c>
      <c r="F11" s="3">
        <v>5</v>
      </c>
      <c r="G11" t="s">
        <v>33</v>
      </c>
      <c r="H11" t="s">
        <v>35</v>
      </c>
      <c r="I11" s="4">
        <f t="shared" si="2"/>
        <v>57.6</v>
      </c>
      <c r="J11" s="4">
        <v>10</v>
      </c>
      <c r="K11" s="5">
        <f t="shared" si="0"/>
        <v>0.1736111111111111</v>
      </c>
      <c r="L11" t="str">
        <f t="shared" si="1"/>
        <v>nein</v>
      </c>
    </row>
    <row r="12" spans="1:13" x14ac:dyDescent="0.3">
      <c r="A12">
        <v>2</v>
      </c>
      <c r="B12" t="s">
        <v>37</v>
      </c>
      <c r="C12" t="s">
        <v>34</v>
      </c>
      <c r="D12">
        <v>4</v>
      </c>
      <c r="E12" t="s">
        <v>15</v>
      </c>
      <c r="F12" s="3">
        <v>2</v>
      </c>
      <c r="G12" t="s">
        <v>38</v>
      </c>
      <c r="H12" t="s">
        <v>35</v>
      </c>
      <c r="I12" s="4">
        <f t="shared" si="2"/>
        <v>144</v>
      </c>
      <c r="J12" s="4">
        <v>10</v>
      </c>
      <c r="K12" s="5">
        <f t="shared" si="0"/>
        <v>6.9444444444444448E-2</v>
      </c>
      <c r="L12" t="str">
        <f t="shared" si="1"/>
        <v>nein</v>
      </c>
    </row>
    <row r="13" spans="1:13" x14ac:dyDescent="0.3">
      <c r="A13">
        <v>2</v>
      </c>
      <c r="B13" t="s">
        <v>38</v>
      </c>
      <c r="C13" t="s">
        <v>34</v>
      </c>
      <c r="D13">
        <v>4</v>
      </c>
      <c r="E13" t="s">
        <v>15</v>
      </c>
      <c r="F13" s="3">
        <v>2</v>
      </c>
      <c r="G13" t="s">
        <v>37</v>
      </c>
      <c r="H13" t="s">
        <v>35</v>
      </c>
      <c r="I13" s="4">
        <f t="shared" si="2"/>
        <v>144</v>
      </c>
      <c r="J13" s="4">
        <v>10</v>
      </c>
      <c r="K13" s="5">
        <f t="shared" si="0"/>
        <v>6.9444444444444448E-2</v>
      </c>
      <c r="L13" t="str">
        <f t="shared" si="1"/>
        <v>nein</v>
      </c>
    </row>
    <row r="14" spans="1:13" x14ac:dyDescent="0.3">
      <c r="A14">
        <v>2</v>
      </c>
      <c r="B14" t="s">
        <v>39</v>
      </c>
      <c r="C14" t="s">
        <v>40</v>
      </c>
      <c r="D14">
        <v>1</v>
      </c>
      <c r="E14" t="s">
        <v>15</v>
      </c>
      <c r="F14" s="3">
        <v>20</v>
      </c>
      <c r="H14" t="s">
        <v>41</v>
      </c>
      <c r="I14" s="4">
        <f t="shared" si="2"/>
        <v>14.4</v>
      </c>
      <c r="J14" s="4">
        <v>10</v>
      </c>
      <c r="K14" s="5">
        <f t="shared" si="0"/>
        <v>0.69444444444444442</v>
      </c>
      <c r="L14" t="str">
        <f t="shared" si="1"/>
        <v>nein</v>
      </c>
    </row>
    <row r="15" spans="1:13" x14ac:dyDescent="0.3">
      <c r="A15">
        <v>2</v>
      </c>
      <c r="B15" t="s">
        <v>42</v>
      </c>
      <c r="C15" t="s">
        <v>27</v>
      </c>
      <c r="D15">
        <v>1</v>
      </c>
      <c r="E15" t="s">
        <v>28</v>
      </c>
      <c r="F15" s="3">
        <v>15</v>
      </c>
      <c r="G15" t="s">
        <v>43</v>
      </c>
      <c r="H15" t="s">
        <v>29</v>
      </c>
      <c r="I15" s="4">
        <f t="shared" si="2"/>
        <v>19.2</v>
      </c>
      <c r="J15" s="4">
        <v>10</v>
      </c>
      <c r="K15" s="5">
        <f t="shared" si="0"/>
        <v>0.52083333333333337</v>
      </c>
      <c r="L15" t="str">
        <f t="shared" si="1"/>
        <v>nein</v>
      </c>
    </row>
    <row r="16" spans="1:13" x14ac:dyDescent="0.3">
      <c r="A16">
        <v>2</v>
      </c>
      <c r="B16" t="s">
        <v>43</v>
      </c>
      <c r="C16" t="s">
        <v>27</v>
      </c>
      <c r="D16">
        <v>1</v>
      </c>
      <c r="E16" t="s">
        <v>28</v>
      </c>
      <c r="F16" s="3">
        <v>15</v>
      </c>
      <c r="G16" t="s">
        <v>42</v>
      </c>
      <c r="H16" t="s">
        <v>29</v>
      </c>
      <c r="I16" s="4">
        <f t="shared" si="2"/>
        <v>19.2</v>
      </c>
      <c r="J16" s="4">
        <v>10</v>
      </c>
      <c r="K16" s="5">
        <f t="shared" si="0"/>
        <v>0.52083333333333337</v>
      </c>
      <c r="L16" t="str">
        <f t="shared" si="1"/>
        <v>nein</v>
      </c>
    </row>
    <row r="17" spans="1:12" x14ac:dyDescent="0.3">
      <c r="A17">
        <v>3</v>
      </c>
      <c r="B17" t="s">
        <v>44</v>
      </c>
      <c r="C17" t="s">
        <v>27</v>
      </c>
      <c r="D17">
        <v>1</v>
      </c>
      <c r="E17" t="s">
        <v>28</v>
      </c>
      <c r="F17" s="3">
        <v>5</v>
      </c>
      <c r="H17" t="s">
        <v>29</v>
      </c>
      <c r="I17" s="4">
        <f t="shared" si="2"/>
        <v>57.6</v>
      </c>
      <c r="J17" s="4">
        <v>10</v>
      </c>
      <c r="K17" s="5">
        <f t="shared" si="0"/>
        <v>0.1736111111111111</v>
      </c>
      <c r="L17" t="str">
        <f t="shared" si="1"/>
        <v>nein</v>
      </c>
    </row>
    <row r="18" spans="1:12" x14ac:dyDescent="0.3">
      <c r="A18">
        <v>3</v>
      </c>
      <c r="B18" t="s">
        <v>45</v>
      </c>
      <c r="C18" t="s">
        <v>46</v>
      </c>
      <c r="D18">
        <v>6</v>
      </c>
      <c r="E18" t="s">
        <v>28</v>
      </c>
      <c r="F18" s="3">
        <v>10</v>
      </c>
      <c r="H18" t="s">
        <v>32</v>
      </c>
      <c r="I18" s="4">
        <f t="shared" si="2"/>
        <v>28.8</v>
      </c>
      <c r="J18" s="4">
        <v>10</v>
      </c>
      <c r="K18" s="5">
        <f t="shared" si="0"/>
        <v>0.34722222222222221</v>
      </c>
      <c r="L18" t="str">
        <f t="shared" si="1"/>
        <v>nein</v>
      </c>
    </row>
    <row r="1048576" spans="10:10" x14ac:dyDescent="0.3">
      <c r="J1048576" s="4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pane ySplit="3" topLeftCell="A4" activePane="bottomLeft" state="frozen"/>
      <selection pane="bottomLeft" activeCell="C10" sqref="C10"/>
    </sheetView>
  </sheetViews>
  <sheetFormatPr baseColWidth="10" defaultColWidth="8.88671875" defaultRowHeight="14.4" x14ac:dyDescent="0.3"/>
  <cols>
    <col min="1" max="1" width="24" customWidth="1"/>
    <col min="2" max="2" width="36" customWidth="1"/>
    <col min="3" max="4" width="18" customWidth="1"/>
    <col min="5" max="6" width="12" customWidth="1"/>
    <col min="7" max="7" width="18" customWidth="1"/>
    <col min="8" max="8" width="28" customWidth="1"/>
  </cols>
  <sheetData>
    <row r="1" spans="1:8" ht="18" x14ac:dyDescent="0.35">
      <c r="A1" s="8" t="s">
        <v>47</v>
      </c>
      <c r="B1" s="9"/>
      <c r="C1" s="9"/>
      <c r="D1" s="9"/>
      <c r="E1" s="9"/>
      <c r="F1" s="9"/>
      <c r="G1" s="9"/>
      <c r="H1" s="9"/>
    </row>
    <row r="3" spans="1:8" ht="28.8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10</v>
      </c>
      <c r="F3" s="6" t="s">
        <v>52</v>
      </c>
      <c r="G3" s="6" t="s">
        <v>53</v>
      </c>
      <c r="H3" s="6" t="s">
        <v>54</v>
      </c>
    </row>
    <row r="4" spans="1:8" x14ac:dyDescent="0.3">
      <c r="A4" t="s">
        <v>20</v>
      </c>
      <c r="B4" t="s">
        <v>55</v>
      </c>
      <c r="C4" s="3">
        <v>16</v>
      </c>
      <c r="D4" s="3"/>
      <c r="E4" s="5">
        <f t="shared" ref="E4:E9" si="0">IFERROR(D4/C4,"")</f>
        <v>0</v>
      </c>
      <c r="F4" t="str">
        <f t="shared" ref="F4:F9" si="1">IF(E4="","",IF(E4&gt;=0.9,"JA",IF(E4&gt;=0.75,"prüfen","nein")))</f>
        <v>nein</v>
      </c>
      <c r="H4" t="s">
        <v>56</v>
      </c>
    </row>
    <row r="5" spans="1:8" x14ac:dyDescent="0.3">
      <c r="A5" t="s">
        <v>29</v>
      </c>
      <c r="B5" t="s">
        <v>57</v>
      </c>
      <c r="C5" s="3">
        <v>16</v>
      </c>
      <c r="D5" s="3"/>
      <c r="E5" s="5">
        <f t="shared" si="0"/>
        <v>0</v>
      </c>
      <c r="F5" t="str">
        <f t="shared" si="1"/>
        <v>nein</v>
      </c>
    </row>
    <row r="6" spans="1:8" x14ac:dyDescent="0.3">
      <c r="A6" t="s">
        <v>32</v>
      </c>
      <c r="B6" t="s">
        <v>58</v>
      </c>
      <c r="C6" s="3">
        <v>16</v>
      </c>
      <c r="D6" s="3"/>
      <c r="E6" s="5">
        <f t="shared" si="0"/>
        <v>0</v>
      </c>
      <c r="F6" t="str">
        <f t="shared" si="1"/>
        <v>nein</v>
      </c>
    </row>
    <row r="7" spans="1:8" x14ac:dyDescent="0.3">
      <c r="A7" t="s">
        <v>16</v>
      </c>
      <c r="B7" t="s">
        <v>59</v>
      </c>
      <c r="C7" s="3">
        <v>16</v>
      </c>
      <c r="D7" s="3"/>
      <c r="E7" s="5">
        <f t="shared" si="0"/>
        <v>0</v>
      </c>
      <c r="F7" t="str">
        <f t="shared" si="1"/>
        <v>nein</v>
      </c>
    </row>
    <row r="8" spans="1:8" x14ac:dyDescent="0.3">
      <c r="A8" t="s">
        <v>35</v>
      </c>
      <c r="B8" t="s">
        <v>60</v>
      </c>
      <c r="C8" s="3">
        <v>4</v>
      </c>
      <c r="D8" s="3"/>
      <c r="E8" s="5">
        <f t="shared" si="0"/>
        <v>0</v>
      </c>
      <c r="F8" t="str">
        <f t="shared" si="1"/>
        <v>nein</v>
      </c>
      <c r="H8" t="s">
        <v>61</v>
      </c>
    </row>
    <row r="9" spans="1:8" x14ac:dyDescent="0.3">
      <c r="A9" t="s">
        <v>41</v>
      </c>
      <c r="B9" t="s">
        <v>39</v>
      </c>
      <c r="C9" s="3">
        <v>4</v>
      </c>
      <c r="D9" s="3"/>
      <c r="E9" s="5">
        <f t="shared" si="0"/>
        <v>0</v>
      </c>
      <c r="F9" t="str">
        <f t="shared" si="1"/>
        <v>nein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ht="18" x14ac:dyDescent="0.35">
      <c r="A1" s="1" t="s">
        <v>62</v>
      </c>
    </row>
    <row r="3" spans="1:1" x14ac:dyDescent="0.3">
      <c r="A3" s="7" t="s">
        <v>63</v>
      </c>
    </row>
    <row r="4" spans="1:1" x14ac:dyDescent="0.3">
      <c r="A4" s="7" t="s">
        <v>64</v>
      </c>
    </row>
    <row r="5" spans="1:1" x14ac:dyDescent="0.3">
      <c r="A5" s="7" t="s">
        <v>65</v>
      </c>
    </row>
    <row r="6" spans="1:1" ht="28.8" x14ac:dyDescent="0.3">
      <c r="A6" s="7" t="s">
        <v>66</v>
      </c>
    </row>
    <row r="7" spans="1:1" x14ac:dyDescent="0.3">
      <c r="A7" s="7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Untersuchungen</vt:lpstr>
      <vt:lpstr>Ressourcen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Görtzen-Patin</cp:lastModifiedBy>
  <dcterms:created xsi:type="dcterms:W3CDTF">2026-03-13T11:05:46Z</dcterms:created>
  <dcterms:modified xsi:type="dcterms:W3CDTF">2026-03-14T07:34:56Z</dcterms:modified>
</cp:coreProperties>
</file>